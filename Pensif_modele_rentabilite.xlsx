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eses" sheetId="1" state="visible" r:id="rId3"/>
    <sheet name="Programmes affiliation" sheetId="2" state="visible" r:id="rId4"/>
    <sheet name="Modele de rentabilite" sheetId="3" state="visible" r:id="rId5"/>
    <sheet name="Sensibili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<sst xmlns="http://schemas.openxmlformats.org/spreadsheetml/2006/main" count="172" uniqueCount="145">
  <si>
    <t xml:space="preserve">Hypotheses du modele de rentabilite — App anniversaire &amp; cadeaux (Pensif)</t>
  </si>
  <si>
    <t xml:space="preserve">Cellules en bleu = a ajuster librement. Cellules en noir = calculees automatiquement.</t>
  </si>
  <si>
    <t xml:space="preserve">Parametre</t>
  </si>
  <si>
    <t xml:space="preserve">Valeur</t>
  </si>
  <si>
    <t xml:space="preserve">Unite</t>
  </si>
  <si>
    <t xml:space="preserve">Source / justification</t>
  </si>
  <si>
    <t xml:space="preserve">Contacts suivis par utilisateur actif (moyenne)</t>
  </si>
  <si>
    <t xml:space="preserve">contacts</t>
  </si>
  <si>
    <t xml:space="preserve">Hypothese produit a valider par tests utilisateurs (repertoire d'anniversaires suivis)</t>
  </si>
  <si>
    <t xml:space="preserve">Panier moyen du cadeau achete via l'app</t>
  </si>
  <si>
    <t xml:space="preserve">EUR</t>
  </si>
  <si>
    <t xml:space="preserve">Estime a partir des budgets anniversaire ami proche / famille proche (25-50 EUR) — voir onglet 'Programmes affiliation', tableau budgets</t>
  </si>
  <si>
    <t xml:space="preserve">Part des achats via catalogue generaliste (Amazon / Cdiscount)</t>
  </si>
  <si>
    <t xml:space="preserve">Hypothese de repartition — a affiner avec des donnees d'usage reelles</t>
  </si>
  <si>
    <t xml:space="preserve">Part des achats via fleuriste / chocolatier (envoi jour J)</t>
  </si>
  <si>
    <t xml:space="preserve">Calcule automatiquement : 1 - part generaliste</t>
  </si>
  <si>
    <t xml:space="preserve">Commission moyenne generaliste (blend Amazon ~3-4% / Cdiscount 2-8% selon categorie)</t>
  </si>
  <si>
    <t xml:space="preserve">Amazon Partenaires: jusqu'a 12% annonce mais barreme reel par categorie non public en detail, la plupart des categories cadeaux ~3-4% (lafabriquedunet.fr). Cdiscount via Awin: jusqu'a 6-8%, ex. mode 4-5%, maison 2.5-3.5%, high-tech 2-3% (freudix.studio, ui.awin.com)</t>
  </si>
  <si>
    <t xml:space="preserve">Commission moyenne fleuriste / chocolatier (blend, ex. Interflora)</t>
  </si>
  <si>
    <t xml:space="preserve">Interflora via TimeOne: CPA ~9% (cashback) / 4,5% sur gamme petit prix (performance.timeonegroup.com). Euroflorist (Tradedoubler) et 123fleurs: taux non publies, sur candidature — retenu 6% par prudence</t>
  </si>
  <si>
    <t xml:space="preserve">Commission moyenne ponderee (generaliste + fleuriste)</t>
  </si>
  <si>
    <t xml:space="preserve">Calcule automatiquement : part generaliste x commission generaliste + part fleuriste x commission fleuriste</t>
  </si>
  <si>
    <t xml:space="preserve">Taux de conversion — scenario pessimiste</t>
  </si>
  <si>
    <t xml:space="preserve">% des rappels d'anniversaire qui debouchent sur un achat via un lien affilie de l'app. Non valide par des donnees reelles — a mesurer des le MVP</t>
  </si>
  <si>
    <t xml:space="preserve">Taux de conversion — scenario median</t>
  </si>
  <si>
    <t xml:space="preserve">Idem, hypothese mediane</t>
  </si>
  <si>
    <t xml:space="preserve">Taux de conversion — scenario optimiste</t>
  </si>
  <si>
    <t xml:space="preserve">Idem, hypothese haute (audience tres qualifiee / forte pertinence du matching)</t>
  </si>
  <si>
    <t xml:space="preserve">Couts du projet — poste par poste (chiffres fournis par l'utilisateur + recherche sourcee)</t>
  </si>
  <si>
    <t xml:space="preserve">Poste</t>
  </si>
  <si>
    <t xml:space="preserve">Type</t>
  </si>
  <si>
    <t xml:space="preserve">Montant (EUR)</t>
  </si>
  <si>
    <t xml:space="preserve">Source / note</t>
  </si>
  <si>
    <t xml:space="preserve">Hebergement backend — Supabase, plan Pro</t>
  </si>
  <si>
    <t xml:space="preserve">Annuel</t>
  </si>
  <si>
    <t xml:space="preserve">25 USD/mois x 12, conversion approx. ~0,92 EUR/USD (nocode.mba, article Supabase Pricing 2026). Quota inclus jusqu'a 100 000 utilisateurs actifs/mois — largement suffisant a ce stade</t>
  </si>
  <si>
    <t xml:space="preserve">Compte developpeur Apple (App Store)</t>
  </si>
  <si>
    <t xml:space="preserve">99 USD/an (confirme par l'utilisateur), conversion approx. ~0,92 EUR/USD. Necessaire uniquement a partir de la publication sur iOS</t>
  </si>
  <si>
    <t xml:space="preserve">Compte developpeur Google Play</t>
  </si>
  <si>
    <t xml:space="preserve">Unique</t>
  </si>
  <si>
    <t xml:space="preserve">25 USD, paiement unique (confirme par l'utilisateur) — pas un cout annuel</t>
  </si>
  <si>
    <t xml:space="preserve">Depot de marque INPI (1 classe)</t>
  </si>
  <si>
    <t xml:space="preserve">Tarif officiel INPI 2026 pour une classe, depot en ligne (legalplace.fr) — proche de l'estimation de l'utilisateur (200 EUR). Uniquement si le projet va au bout</t>
  </si>
  <si>
    <t xml:space="preserve">Nom de domaine</t>
  </si>
  <si>
    <t xml:space="preserve">Non prevu pour le moment (pas de site prevu). Si ajoute plus tard : ~10-15 EUR/an pour un nom de domaine seul, ou davantage si couple a un abonnement site (type Wix/Squarespace, ~12 EUR/mois) — a clarifier selon ce qui est vise</t>
  </si>
  <si>
    <t xml:space="preserve">Abonnement Claude (usage dev personnel, Claude Code)</t>
  </si>
  <si>
    <t xml:space="preserve">21,60 EUR/mois deja paye par l'utilisateur, mutualise avec ses autres projets — cout marginal nul attribuable a ce projet. Attention : distinct de l'API de production utilisee par l'app (voir cout variable ci-dessous)</t>
  </si>
  <si>
    <t xml:space="preserve">Couts additionnels optionnels (ex: aide freelance ponctuelle) — mettre 0 si aucun</t>
  </si>
  <si>
    <t xml:space="preserve">A ajuster librement si vous prevoyez de sous-traiter une partie du developpement ou du design</t>
  </si>
  <si>
    <t xml:space="preserve">TOTAL couts fixes ANNUELS (recurrents)</t>
  </si>
  <si>
    <t xml:space="preserve">Somme des postes marques 'Annuel' ci-dessus</t>
  </si>
  <si>
    <t xml:space="preserve">TOTAL couts UNIQUES (lancement, hors annees suivantes)</t>
  </si>
  <si>
    <t xml:space="preserve">Somme des postes marques 'Unique' ci-dessus — a prevoir la 1ere annee seulement</t>
  </si>
  <si>
    <t xml:space="preserve">Cout variable — API LLM de production (par utilisateur actif / an)</t>
  </si>
  <si>
    <t xml:space="preserve">Cout API LLM de production par utilisateur actif / an</t>
  </si>
  <si>
    <t xml:space="preserve">Base de calcul : Claude Haiku (modele economique) = 1 USD/M tokens en entree, 5 USD/M en sortie (benchlm.ai, aout 2026). Hypothese ~16 appels/utilisateur/an (8 contacts x 1 interpretation initiale des 3 reponses + 1 rafraichissement annuel de la recommandation), ~1000 tokens entree / 300 tokens sortie par appel -&gt; ~0,04 EUR/utilisateur/an. C'est une API de production facturee a l'usage, distincte de l'abonnement Claude personnel utilise pour coder. A recalibrer avec la consommation reelle du MVP</t>
  </si>
  <si>
    <t xml:space="preserve">Recherche — programmes d'affiliation identifies (aout 2026)</t>
  </si>
  <si>
    <t xml:space="preserve">A confirmer directement aupres de chaque programme avant integration (taux exacts non toujours publics)</t>
  </si>
  <si>
    <t xml:space="preserve">Programme</t>
  </si>
  <si>
    <t xml:space="preserve">Plateforme</t>
  </si>
  <si>
    <t xml:space="preserve">Commission indiquee</t>
  </si>
  <si>
    <t xml:space="preserve">Cookie</t>
  </si>
  <si>
    <t xml:space="preserve">Inscription</t>
  </si>
  <si>
    <t xml:space="preserve">Source</t>
  </si>
  <si>
    <t xml:space="preserve">Amazon Partenaires (Amazon.fr)</t>
  </si>
  <si>
    <t xml:space="preserve">Directe (Amazon Associates)</t>
  </si>
  <si>
    <t xml:space="preserve">Jusqu'a 12% annonce ; barreme detaille par categorie non public — la plupart des categories cadeaux (maison, jouets, mode, beaute) ~3-4% par recoupement</t>
  </si>
  <si>
    <t xml:space="preserve">Non confirme (a verifier sur la console partenaire)</t>
  </si>
  <si>
    <t xml:space="preserve">Libre, gratuite, sans frais</t>
  </si>
  <si>
    <t xml:space="preserve">lafabriquedunet.fr/logiciel/amazon-partenaires</t>
  </si>
  <si>
    <t xml:space="preserve">Cdiscount</t>
  </si>
  <si>
    <t xml:space="preserve">Awin</t>
  </si>
  <si>
    <t xml:space="preserve">Jusqu'a 6-8% selon categorie : high-tech ~2-3%, maison ~2.5-3.5%, loisirs ~3-4%, mode ~4-5%</t>
  </si>
  <si>
    <t xml:space="preserve">7 jours</t>
  </si>
  <si>
    <t xml:space="preserve">Candidature via Awin (validation requise) ; paiement min. 20 EUR, mensuel/bimensuel</t>
  </si>
  <si>
    <t xml:space="preserve">freudix.studio/programmes-affiliation/cdiscount ; ui.awin.com/merchant-profile/6948</t>
  </si>
  <si>
    <t xml:space="preserve">Interflora</t>
  </si>
  <si>
    <t xml:space="preserve">TimeOne</t>
  </si>
  <si>
    <t xml:space="preserve">CPA ~9% (cashback) / 4,5% sur gamme 'petit prix' ; 8 EUR forfait sur segment deuil (non pertinent ici)</t>
  </si>
  <si>
    <t xml:space="preserve">Non precise</t>
  </si>
  <si>
    <t xml:space="preserve">Contact direct : interflora@timeonegroup.com</t>
  </si>
  <si>
    <t xml:space="preserve">interflora.fr/affiliation ; performance.timeonegroup.com</t>
  </si>
  <si>
    <t xml:space="preserve">Euroflorist / Telefleurs</t>
  </si>
  <si>
    <t xml:space="preserve">Tradedoubler</t>
  </si>
  <si>
    <t xml:space="preserve">Non publie — 'free &amp; easy to apply'</t>
  </si>
  <si>
    <t xml:space="preserve">Candidature sur Tradedoubler</t>
  </si>
  <si>
    <t xml:space="preserve">euroflorist.fr/en/programme-daffiliation-cn935 ; directory.tradedoubler.com</t>
  </si>
  <si>
    <t xml:space="preserve">123fleurs</t>
  </si>
  <si>
    <t xml:space="preserve">Programme propre (direct)</t>
  </si>
  <si>
    <t xml:space="preserve">Non publie — sur demande</t>
  </si>
  <si>
    <t xml:space="preserve">Contact service affiliation : 03 79 33 67 09</t>
  </si>
  <si>
    <t xml:space="preserve">123fleurs.com/infos/affiliation</t>
  </si>
  <si>
    <t xml:space="preserve">Chocolatiers (Leonidas, Jeff de Bruges, etc.)</t>
  </si>
  <si>
    <t xml:space="preserve">Aucun programme structure identifie en libre-service</t>
  </si>
  <si>
    <t xml:space="preserve">N/A</t>
  </si>
  <si>
    <t xml:space="preserve">Probablement prise de contact directe, ou via un reseau generaliste (Awin / TimeOne / Effinity)</t>
  </si>
  <si>
    <t xml:space="preserve">Recherche web aout 2026 — aucun programme dedie trouve</t>
  </si>
  <si>
    <t xml:space="preserve">Budgets cadeau anniversaire observes en France (pour calibrer le panier moyen)</t>
  </si>
  <si>
    <t xml:space="preserve">Lien avec la personne</t>
  </si>
  <si>
    <t xml:space="preserve">Budget observe</t>
  </si>
  <si>
    <t xml:space="preserve">Ami proche</t>
  </si>
  <si>
    <t xml:space="preserve">~50 EUR</t>
  </si>
  <si>
    <t xml:space="preserve">profitrama.com/budget-cadeau-anniversaire</t>
  </si>
  <si>
    <t xml:space="preserve">Famille proche (parents, fratrie)</t>
  </si>
  <si>
    <t xml:space="preserve">50-150 EUR</t>
  </si>
  <si>
    <t xml:space="preserve">poupala.fr/quel-montant-pour-un-anniversaire</t>
  </si>
  <si>
    <t xml:space="preserve">Connaissance</t>
  </si>
  <si>
    <t xml:space="preserve">~20 EUR</t>
  </si>
  <si>
    <t xml:space="preserve">Collegue (cagnotte collective)</t>
  </si>
  <si>
    <t xml:space="preserve">10-20 EUR</t>
  </si>
  <si>
    <t xml:space="preserve">poupala.fr ; profitrama.com</t>
  </si>
  <si>
    <t xml:space="preserve">Moyenne globale tous liens confondus</t>
  </si>
  <si>
    <t xml:space="preserve">~35 EUR</t>
  </si>
  <si>
    <t xml:space="preserve">Anniversaires marquants (18, 30, 50 ans)</t>
  </si>
  <si>
    <t xml:space="preserve">x2 le budget habituel</t>
  </si>
  <si>
    <t xml:space="preserve">Modele de rentabilite — revenu d'affiliation</t>
  </si>
  <si>
    <t xml:space="preserve">Revenu par utilisateur actif/an = contacts suivis x taux de conversion x panier moyen x commission ponderee (voir onglet Hypotheses)</t>
  </si>
  <si>
    <t xml:space="preserve">Pessimiste</t>
  </si>
  <si>
    <t xml:space="preserve">Median</t>
  </si>
  <si>
    <t xml:space="preserve">Optimiste</t>
  </si>
  <si>
    <t xml:space="preserve">Taux de conversion retenu</t>
  </si>
  <si>
    <t xml:space="preserve">Revenu d'affiliation par utilisateur actif / an (EUR)</t>
  </si>
  <si>
    <t xml:space="preserve">Cout variable API LLM production par utilisateur actif / an (EUR)</t>
  </si>
  <si>
    <t xml:space="preserve">Marge nette par utilisateur actif / an (EUR)</t>
  </si>
  <si>
    <t xml:space="preserve">Profit net annuel selon la base d'utilisateurs actifs (marge nette x utilisateurs - couts fixes)</t>
  </si>
  <si>
    <t xml:space="preserve">Utilisateurs actifs (MAU)</t>
  </si>
  <si>
    <t xml:space="preserve">Utilisateurs actifs necessaires pour atteindre le seuil de rentabilite (couts annuels recurrents uniquement — hors couts de lancement uniques)</t>
  </si>
  <si>
    <t xml:space="preserve">Couts fixes annuels recurrents seuls</t>
  </si>
  <si>
    <t xml:space="preserve">Annee 1 (couts annuels recurrents + couts uniques de lancement)</t>
  </si>
  <si>
    <t xml:space="preserve">Lecture : avec des couts fixes annuels recurrents tres bas (Supabase + compte developpeur Apple, hors couts de lancement uniques comme le depot de marque ou le compte Google Play), le seuil de rentabilite est atteint des quelques dizaines a quelques centaines d'utilisateurs actifs selon le scenario. Les couts uniques de lancement (voir onglet Hypotheses, ligne 'TOTAL couts UNIQUES') sont a couvrir une seule fois, la 1ere annee. Ces volumes sont des utilisateurs ACTIFS (suivent des contacts et achetent via l'app), pas des installations.</t>
  </si>
  <si>
    <t xml:space="preserve">Sensibilite du profit — quel levier pese le plus ?</t>
  </si>
  <si>
    <t xml:space="preserve">Chaque tableau fait varier UN SEUL parametre (les autres restent a leur valeur mediane) pour isoler son effet sur le profit annuel, a base d'utilisateurs actifs fixe.</t>
  </si>
  <si>
    <t xml:space="preserve">Utilisateurs actifs de reference pour cette analyse</t>
  </si>
  <si>
    <t xml:space="preserve">1. Taux de conversion rappel -&gt; achat (1% a 25%)</t>
  </si>
  <si>
    <t xml:space="preserve">Fourchette la plus large : c'est la seule variable sans aucune donnee reelle (le produit n'existe pas encore). Benchmarks affiliation generalistes : 1-3% en moyenne, 5-10% pour du contenu tres pertinent (wecantrack.com).</t>
  </si>
  <si>
    <t xml:space="preserve">Valeur testee</t>
  </si>
  <si>
    <t xml:space="preserve">Profit annuel (EUR)</t>
  </si>
  <si>
    <t xml:space="preserve">Ecart (max - min)</t>
  </si>
  <si>
    <t xml:space="preserve">2. Commission moyenne ponderee (2% a 9%)</t>
  </si>
  <si>
    <t xml:space="preserve">Fourchette bornee par les programmes reellement identifies (onglet 'Programmes affiliation') : de Cdiscount high-tech (~2-3%) a Interflora cashback (~9%). Levier peu controlable : fixe par les programmes, pas par le produit.</t>
  </si>
  <si>
    <t xml:space="preserve">3. Panier moyen (20 EUR a 100 EUR)</t>
  </si>
  <si>
    <t xml:space="preserve">Fourchette calibree sur les budgets anniversaire observes (onglet 'Programmes affiliation') : de la connaissance (~20 EUR) aux anniversaires marquants en famille proche (jusqu'a 100+ EUR). Peu controlable par le produit (norme sociale).</t>
  </si>
  <si>
    <t xml:space="preserve">4. Contacts suivis par utilisateur actif (4 a 15)</t>
  </si>
  <si>
    <t xml:space="preserve">Levier partiellement controlable via l'onboarding (encourager a ajouter plus de contacts). Fourchette raisonnable pour un usage regulier.</t>
  </si>
  <si>
    <t xml:space="preserve">Lecture : chacun de ces 4 leviers a, mathematiquement, le meme effet proportionnel sur le revenu (ce sont 4 facteurs multiplies entre eux). Ce qui differencie le taux de conversion, c'est l'ampleur de sa fourchette plausible (25x entre le bas et le haut, contre 3,75x a 5x pour les 3 autres leviers) et le fait que ce soit la seule variable sans aucune donnee reelle et directement pilotable par la qualite du produit (matching + UX), plutot que fixee par des tiers (commission) ou par des normes sociales externes (panier moyen).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</si>
</sst>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"/>
    <numFmt numFmtId="166" formatCode="0.0%"/>
    <numFmt numFmtId="167" formatCode="#,##0.00&quot; €&quot;"/>
    <numFmt numFmtId="168" formatCode="#,##0"/>
    <numFmt numFmtId="169" formatCode="#,##0&quot; €&quot;;\(#,##0&quot; €)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2.35" hidden="false" customHeight="false" outlineLevel="0" collapsed="false">
      <c r="A5" s="4" t="s">
        <v>6</v>
      </c>
      <c r="B5" s="5" t="n">
        <v>8</v>
      </c>
      <c r="C5" s="6" t="s">
        <v>7</v>
      </c>
      <c r="D5" s="7" t="s">
        <v>8</v>
      </c>
    </row>
    <row r="6" customFormat="false" ht="22.35" hidden="false" customHeight="false" outlineLevel="0" collapsed="false">
      <c r="A6" s="4" t="s">
        <v>9</v>
      </c>
      <c r="B6" s="8" t="n">
        <v>40</v>
      </c>
      <c r="C6" s="6" t="s">
        <v>10</v>
      </c>
      <c r="D6" s="7" t="s">
        <v>11</v>
      </c>
    </row>
    <row r="7" customFormat="false" ht="15" hidden="false" customHeight="false" outlineLevel="0" collapsed="false">
      <c r="A7" s="4" t="s">
        <v>12</v>
      </c>
      <c r="B7" s="9" t="n">
        <v>0.6</v>
      </c>
      <c r="C7" s="6"/>
      <c r="D7" s="7" t="s">
        <v>13</v>
      </c>
    </row>
    <row r="8" customFormat="false" ht="15" hidden="false" customHeight="false" outlineLevel="0" collapsed="false">
      <c r="A8" s="4" t="s">
        <v>14</v>
      </c>
      <c r="B8" s="10" t="n">
        <f aca="false">1-B7</f>
        <v>0.4</v>
      </c>
      <c r="C8" s="6"/>
      <c r="D8" s="7" t="s">
        <v>15</v>
      </c>
    </row>
    <row r="9" customFormat="false" ht="43.25" hidden="false" customHeight="false" outlineLevel="0" collapsed="false">
      <c r="A9" s="4" t="s">
        <v>16</v>
      </c>
      <c r="B9" s="9" t="n">
        <v>0.04</v>
      </c>
      <c r="C9" s="6"/>
      <c r="D9" s="7" t="s">
        <v>17</v>
      </c>
    </row>
    <row r="10" customFormat="false" ht="32.8" hidden="false" customHeight="false" outlineLevel="0" collapsed="false">
      <c r="A10" s="4" t="s">
        <v>18</v>
      </c>
      <c r="B10" s="9" t="n">
        <v>0.06</v>
      </c>
      <c r="C10" s="6"/>
      <c r="D10" s="7" t="s">
        <v>19</v>
      </c>
    </row>
    <row r="11" customFormat="false" ht="22.35" hidden="false" customHeight="false" outlineLevel="0" collapsed="false">
      <c r="A11" s="4" t="s">
        <v>20</v>
      </c>
      <c r="B11" s="10" t="n">
        <f aca="false">B7*B9+B8*B10</f>
        <v>0.048</v>
      </c>
      <c r="C11" s="6"/>
      <c r="D11" s="7" t="s">
        <v>21</v>
      </c>
    </row>
    <row r="12" customFormat="false" ht="22.35" hidden="false" customHeight="false" outlineLevel="0" collapsed="false">
      <c r="A12" s="4" t="s">
        <v>22</v>
      </c>
      <c r="B12" s="9" t="n">
        <v>0.05</v>
      </c>
      <c r="C12" s="6"/>
      <c r="D12" s="7" t="s">
        <v>23</v>
      </c>
    </row>
    <row r="13" customFormat="false" ht="15" hidden="false" customHeight="false" outlineLevel="0" collapsed="false">
      <c r="A13" s="4" t="s">
        <v>24</v>
      </c>
      <c r="B13" s="9" t="n">
        <v>0.1</v>
      </c>
      <c r="C13" s="6"/>
      <c r="D13" s="7" t="s">
        <v>25</v>
      </c>
    </row>
    <row r="14" customFormat="false" ht="15" hidden="false" customHeight="false" outlineLevel="0" collapsed="false">
      <c r="A14" s="4" t="s">
        <v>26</v>
      </c>
      <c r="B14" s="9" t="n">
        <v>0.18</v>
      </c>
      <c r="C14" s="6"/>
      <c r="D14" s="7" t="s">
        <v>27</v>
      </c>
    </row>
    <row r="16" customFormat="false" ht="15" hidden="false" customHeight="false" outlineLevel="0" collapsed="false">
      <c r="A16" s="11" t="s">
        <v>28</v>
      </c>
      <c r="B16" s="11"/>
      <c r="C16" s="11"/>
      <c r="D16" s="11"/>
    </row>
    <row r="17" customFormat="false" ht="26.85" hidden="false" customHeight="false" outlineLevel="0" collapsed="false">
      <c r="A17" s="3" t="s">
        <v>29</v>
      </c>
      <c r="B17" s="3" t="s">
        <v>30</v>
      </c>
      <c r="C17" s="3" t="s">
        <v>31</v>
      </c>
      <c r="D17" s="3" t="s">
        <v>32</v>
      </c>
    </row>
    <row r="18" customFormat="false" ht="32.8" hidden="false" customHeight="false" outlineLevel="0" collapsed="false">
      <c r="A18" s="4" t="s">
        <v>33</v>
      </c>
      <c r="B18" s="6" t="s">
        <v>34</v>
      </c>
      <c r="C18" s="8" t="n">
        <v>276</v>
      </c>
      <c r="D18" s="7" t="s">
        <v>35</v>
      </c>
    </row>
    <row r="19" customFormat="false" ht="22.35" hidden="false" customHeight="false" outlineLevel="0" collapsed="false">
      <c r="A19" s="4" t="s">
        <v>36</v>
      </c>
      <c r="B19" s="6" t="s">
        <v>34</v>
      </c>
      <c r="C19" s="8" t="n">
        <v>91</v>
      </c>
      <c r="D19" s="7" t="s">
        <v>37</v>
      </c>
    </row>
    <row r="20" customFormat="false" ht="15" hidden="false" customHeight="false" outlineLevel="0" collapsed="false">
      <c r="A20" s="4" t="s">
        <v>38</v>
      </c>
      <c r="B20" s="6" t="s">
        <v>39</v>
      </c>
      <c r="C20" s="8" t="n">
        <v>23</v>
      </c>
      <c r="D20" s="7" t="s">
        <v>40</v>
      </c>
    </row>
    <row r="21" customFormat="false" ht="22.35" hidden="false" customHeight="false" outlineLevel="0" collapsed="false">
      <c r="A21" s="4" t="s">
        <v>41</v>
      </c>
      <c r="B21" s="6" t="s">
        <v>39</v>
      </c>
      <c r="C21" s="8" t="n">
        <v>190</v>
      </c>
      <c r="D21" s="7" t="s">
        <v>42</v>
      </c>
    </row>
    <row r="22" customFormat="false" ht="43.25" hidden="false" customHeight="false" outlineLevel="0" collapsed="false">
      <c r="A22" s="4" t="s">
        <v>43</v>
      </c>
      <c r="B22" s="6" t="s">
        <v>34</v>
      </c>
      <c r="C22" s="8" t="n">
        <v>0</v>
      </c>
      <c r="D22" s="7" t="s">
        <v>44</v>
      </c>
    </row>
    <row r="23" customFormat="false" ht="32.8" hidden="false" customHeight="false" outlineLevel="0" collapsed="false">
      <c r="A23" s="4" t="s">
        <v>45</v>
      </c>
      <c r="B23" s="6" t="s">
        <v>34</v>
      </c>
      <c r="C23" s="8" t="n">
        <v>0</v>
      </c>
      <c r="D23" s="7" t="s">
        <v>46</v>
      </c>
    </row>
    <row r="24" customFormat="false" ht="28.35" hidden="false" customHeight="false" outlineLevel="0" collapsed="false">
      <c r="A24" s="4" t="s">
        <v>47</v>
      </c>
      <c r="B24" s="6" t="s">
        <v>34</v>
      </c>
      <c r="C24" s="8" t="n">
        <v>0</v>
      </c>
      <c r="D24" s="7" t="s">
        <v>48</v>
      </c>
    </row>
    <row r="25" customFormat="false" ht="15" hidden="false" customHeight="false" outlineLevel="0" collapsed="false">
      <c r="A25" s="12" t="s">
        <v>49</v>
      </c>
      <c r="B25" s="6"/>
      <c r="C25" s="13" t="n">
        <f aca="false">SUMIF(B18:B24,"Annuel",C18:C24)</f>
        <v>367</v>
      </c>
      <c r="D25" s="14" t="s">
        <v>50</v>
      </c>
    </row>
    <row r="26" customFormat="false" ht="15" hidden="false" customHeight="false" outlineLevel="0" collapsed="false">
      <c r="A26" s="12" t="s">
        <v>51</v>
      </c>
      <c r="B26" s="6"/>
      <c r="C26" s="13" t="n">
        <f aca="false">SUMIF(B18:B24,"Unique",C18:C24)</f>
        <v>213</v>
      </c>
      <c r="D26" s="14" t="s">
        <v>52</v>
      </c>
    </row>
    <row r="28" customFormat="false" ht="15" hidden="false" customHeight="false" outlineLevel="0" collapsed="false">
      <c r="A28" s="11" t="s">
        <v>53</v>
      </c>
      <c r="B28" s="11"/>
      <c r="C28" s="11"/>
      <c r="D28" s="11"/>
    </row>
    <row r="29" customFormat="false" ht="74.6" hidden="false" customHeight="false" outlineLevel="0" collapsed="false">
      <c r="A29" s="4" t="s">
        <v>54</v>
      </c>
      <c r="C29" s="15" t="n">
        <v>0.04</v>
      </c>
      <c r="D29" s="7" t="s">
        <v>55</v>
      </c>
    </row>
  </sheetData>
  <mergeCells count="4">
    <mergeCell ref="A1:D1"/>
    <mergeCell ref="A2:D2"/>
    <mergeCell ref="A16:D16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56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</row>
    <row r="5" customFormat="false" ht="60" hidden="false" customHeight="true" outlineLevel="0" collapsed="false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</row>
    <row r="6" customFormat="false" ht="60" hidden="false" customHeight="true" outlineLevel="0" collapsed="false">
      <c r="A6" s="16" t="s">
        <v>70</v>
      </c>
      <c r="B6" s="16" t="s">
        <v>71</v>
      </c>
      <c r="C6" s="16" t="s">
        <v>72</v>
      </c>
      <c r="D6" s="16" t="s">
        <v>73</v>
      </c>
      <c r="E6" s="16" t="s">
        <v>74</v>
      </c>
      <c r="F6" s="16" t="s">
        <v>75</v>
      </c>
    </row>
    <row r="7" customFormat="false" ht="60" hidden="false" customHeight="true" outlineLevel="0" collapsed="false">
      <c r="A7" s="4" t="s">
        <v>76</v>
      </c>
      <c r="B7" s="4" t="s">
        <v>77</v>
      </c>
      <c r="C7" s="4" t="s">
        <v>78</v>
      </c>
      <c r="D7" s="4" t="s">
        <v>79</v>
      </c>
      <c r="E7" s="4" t="s">
        <v>80</v>
      </c>
      <c r="F7" s="4" t="s">
        <v>81</v>
      </c>
    </row>
    <row r="8" customFormat="false" ht="60" hidden="false" customHeight="true" outlineLevel="0" collapsed="false">
      <c r="A8" s="16" t="s">
        <v>82</v>
      </c>
      <c r="B8" s="16" t="s">
        <v>83</v>
      </c>
      <c r="C8" s="16" t="s">
        <v>84</v>
      </c>
      <c r="D8" s="16" t="s">
        <v>79</v>
      </c>
      <c r="E8" s="16" t="s">
        <v>85</v>
      </c>
      <c r="F8" s="16" t="s">
        <v>86</v>
      </c>
    </row>
    <row r="9" customFormat="false" ht="60" hidden="false" customHeight="true" outlineLevel="0" collapsed="false">
      <c r="A9" s="4" t="s">
        <v>87</v>
      </c>
      <c r="B9" s="4" t="s">
        <v>88</v>
      </c>
      <c r="C9" s="4" t="s">
        <v>89</v>
      </c>
      <c r="D9" s="4" t="s">
        <v>79</v>
      </c>
      <c r="E9" s="4" t="s">
        <v>90</v>
      </c>
      <c r="F9" s="4" t="s">
        <v>91</v>
      </c>
    </row>
    <row r="10" customFormat="false" ht="60" hidden="false" customHeight="true" outlineLevel="0" collapsed="false">
      <c r="A10" s="16" t="s">
        <v>92</v>
      </c>
      <c r="B10" s="16" t="s">
        <v>93</v>
      </c>
      <c r="C10" s="16" t="s">
        <v>94</v>
      </c>
      <c r="D10" s="16" t="s">
        <v>94</v>
      </c>
      <c r="E10" s="16" t="s">
        <v>95</v>
      </c>
      <c r="F10" s="16" t="s">
        <v>96</v>
      </c>
    </row>
    <row r="12" customFormat="false" ht="15" hidden="false" customHeight="false" outlineLevel="0" collapsed="false">
      <c r="A12" s="11" t="s">
        <v>97</v>
      </c>
      <c r="B12" s="11"/>
      <c r="C12" s="11"/>
      <c r="D12" s="11"/>
      <c r="E12" s="11"/>
      <c r="F12" s="11"/>
    </row>
    <row r="13" customFormat="false" ht="26.85" hidden="false" customHeight="false" outlineLevel="0" collapsed="false">
      <c r="A13" s="3" t="s">
        <v>98</v>
      </c>
      <c r="B13" s="3" t="s">
        <v>99</v>
      </c>
      <c r="C13" s="3"/>
      <c r="D13" s="3"/>
      <c r="E13" s="3"/>
      <c r="F13" s="3" t="s">
        <v>63</v>
      </c>
    </row>
    <row r="14" customFormat="false" ht="15" hidden="false" customHeight="false" outlineLevel="0" collapsed="false">
      <c r="A14" s="4" t="s">
        <v>100</v>
      </c>
      <c r="B14" s="4" t="s">
        <v>101</v>
      </c>
      <c r="C14" s="4"/>
      <c r="D14" s="4"/>
      <c r="E14" s="4"/>
      <c r="F14" s="4" t="s">
        <v>102</v>
      </c>
    </row>
    <row r="15" customFormat="false" ht="28.35" hidden="false" customHeight="false" outlineLevel="0" collapsed="false">
      <c r="A15" s="4" t="s">
        <v>103</v>
      </c>
      <c r="B15" s="4" t="s">
        <v>104</v>
      </c>
      <c r="C15" s="4"/>
      <c r="D15" s="4"/>
      <c r="E15" s="4"/>
      <c r="F15" s="4" t="s">
        <v>105</v>
      </c>
    </row>
    <row r="16" customFormat="false" ht="15" hidden="false" customHeight="false" outlineLevel="0" collapsed="false">
      <c r="A16" s="4" t="s">
        <v>106</v>
      </c>
      <c r="B16" s="4" t="s">
        <v>107</v>
      </c>
      <c r="C16" s="4"/>
      <c r="D16" s="4"/>
      <c r="E16" s="4"/>
      <c r="F16" s="4" t="s">
        <v>102</v>
      </c>
    </row>
    <row r="17" customFormat="false" ht="15" hidden="false" customHeight="false" outlineLevel="0" collapsed="false">
      <c r="A17" s="4" t="s">
        <v>108</v>
      </c>
      <c r="B17" s="4" t="s">
        <v>109</v>
      </c>
      <c r="C17" s="4"/>
      <c r="D17" s="4"/>
      <c r="E17" s="4"/>
      <c r="F17" s="4" t="s">
        <v>110</v>
      </c>
    </row>
    <row r="18" customFormat="false" ht="28.35" hidden="false" customHeight="false" outlineLevel="0" collapsed="false">
      <c r="A18" s="4" t="s">
        <v>111</v>
      </c>
      <c r="B18" s="4" t="s">
        <v>112</v>
      </c>
      <c r="C18" s="4"/>
      <c r="D18" s="4"/>
      <c r="E18" s="4"/>
      <c r="F18" s="4" t="s">
        <v>105</v>
      </c>
    </row>
    <row r="19" customFormat="false" ht="28.35" hidden="false" customHeight="false" outlineLevel="0" collapsed="false">
      <c r="A19" s="4" t="s">
        <v>113</v>
      </c>
      <c r="B19" s="4" t="s">
        <v>114</v>
      </c>
      <c r="C19" s="4"/>
      <c r="D19" s="4"/>
      <c r="E19" s="4"/>
      <c r="F19" s="4" t="s">
        <v>102</v>
      </c>
    </row>
  </sheetData>
  <mergeCells count="3">
    <mergeCell ref="A1:F1"/>
    <mergeCell ref="A2:F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42"/>
    <col collapsed="false" customWidth="true" hidden="false" outlineLevel="0" max="9" min="7" style="0" width="16"/>
  </cols>
  <sheetData>
    <row r="1" customFormat="false" ht="17.35" hidden="false" customHeight="false" outlineLevel="0" collapsed="false">
      <c r="A1" s="1" t="s">
        <v>115</v>
      </c>
      <c r="B1" s="1"/>
      <c r="C1" s="1"/>
      <c r="D1" s="1"/>
    </row>
    <row r="2" customFormat="false" ht="15" hidden="false" customHeight="false" outlineLevel="0" collapsed="false">
      <c r="A2" s="2" t="s">
        <v>116</v>
      </c>
      <c r="B2" s="2"/>
      <c r="C2" s="2"/>
      <c r="D2" s="2"/>
    </row>
    <row r="4" customFormat="false" ht="15" hidden="false" customHeight="false" outlineLevel="0" collapsed="false">
      <c r="A4" s="3"/>
      <c r="B4" s="3" t="s">
        <v>117</v>
      </c>
      <c r="C4" s="3" t="s">
        <v>118</v>
      </c>
      <c r="D4" s="3" t="s">
        <v>119</v>
      </c>
    </row>
    <row r="5" customFormat="false" ht="15" hidden="false" customHeight="false" outlineLevel="0" collapsed="false">
      <c r="A5" s="6" t="s">
        <v>120</v>
      </c>
      <c r="B5" s="17" t="n">
        <f aca="false">Hypotheses!B12</f>
        <v>0.05</v>
      </c>
      <c r="C5" s="17" t="n">
        <f aca="false">Hypotheses!B13</f>
        <v>0.1</v>
      </c>
      <c r="D5" s="17" t="n">
        <f aca="false">Hypotheses!B14</f>
        <v>0.18</v>
      </c>
    </row>
    <row r="6" customFormat="false" ht="15" hidden="false" customHeight="false" outlineLevel="0" collapsed="false">
      <c r="A6" s="18" t="s">
        <v>121</v>
      </c>
      <c r="B6" s="19" t="n">
        <f aca="false">Hypotheses!$B$5*B5*Hypotheses!$B$6*Hypotheses!$B$11</f>
        <v>0.768</v>
      </c>
      <c r="C6" s="19" t="n">
        <f aca="false">Hypotheses!$B$5*C5*Hypotheses!$B$6*Hypotheses!$B$11</f>
        <v>1.536</v>
      </c>
      <c r="D6" s="19" t="n">
        <f aca="false">Hypotheses!$B$5*D5*Hypotheses!$B$6*Hypotheses!$B$11</f>
        <v>2.7648</v>
      </c>
    </row>
    <row r="7" customFormat="false" ht="15" hidden="false" customHeight="false" outlineLevel="0" collapsed="false">
      <c r="A7" s="6" t="s">
        <v>122</v>
      </c>
      <c r="B7" s="20" t="n">
        <f aca="false">Hypotheses!$C$29</f>
        <v>0.04</v>
      </c>
      <c r="C7" s="20" t="n">
        <f aca="false">Hypotheses!$C$29</f>
        <v>0.04</v>
      </c>
      <c r="D7" s="20" t="n">
        <f aca="false">Hypotheses!$C$29</f>
        <v>0.04</v>
      </c>
    </row>
    <row r="8" customFormat="false" ht="15" hidden="false" customHeight="false" outlineLevel="0" collapsed="false">
      <c r="A8" s="18" t="s">
        <v>123</v>
      </c>
      <c r="B8" s="21" t="n">
        <f aca="false">B6-B7</f>
        <v>0.728</v>
      </c>
      <c r="C8" s="21" t="n">
        <f aca="false">C6-C7</f>
        <v>1.496</v>
      </c>
      <c r="D8" s="21" t="n">
        <f aca="false">D6-D7</f>
        <v>2.7248</v>
      </c>
    </row>
    <row r="11" customFormat="false" ht="15" hidden="false" customHeight="false" outlineLevel="0" collapsed="false">
      <c r="A11" s="11" t="s">
        <v>124</v>
      </c>
      <c r="B11" s="11"/>
      <c r="C11" s="11"/>
      <c r="D11" s="11"/>
    </row>
    <row r="12" customFormat="false" ht="15" hidden="false" customHeight="false" outlineLevel="0" collapsed="false">
      <c r="A12" s="3" t="s">
        <v>125</v>
      </c>
      <c r="B12" s="3" t="s">
        <v>117</v>
      </c>
      <c r="C12" s="3" t="s">
        <v>118</v>
      </c>
      <c r="D12" s="3" t="s">
        <v>119</v>
      </c>
    </row>
    <row r="13" customFormat="false" ht="15" hidden="false" customHeight="false" outlineLevel="0" collapsed="false">
      <c r="A13" s="22" t="n">
        <v>500</v>
      </c>
      <c r="B13" s="23" t="n">
        <f aca="false">$A13*B$8-Hypotheses!$C$25</f>
        <v>-3</v>
      </c>
      <c r="C13" s="23" t="n">
        <f aca="false">$A13*C$8-Hypotheses!$C$25</f>
        <v>381</v>
      </c>
      <c r="D13" s="23" t="n">
        <f aca="false">$A13*D$8-Hypotheses!$C$25</f>
        <v>995.4</v>
      </c>
    </row>
    <row r="14" customFormat="false" ht="15" hidden="false" customHeight="false" outlineLevel="0" collapsed="false">
      <c r="A14" s="22" t="n">
        <v>1000</v>
      </c>
      <c r="B14" s="23" t="n">
        <f aca="false">$A14*B$8-Hypotheses!$C$25</f>
        <v>361</v>
      </c>
      <c r="C14" s="23" t="n">
        <f aca="false">$A14*C$8-Hypotheses!$C$25</f>
        <v>1129</v>
      </c>
      <c r="D14" s="23" t="n">
        <f aca="false">$A14*D$8-Hypotheses!$C$25</f>
        <v>2357.8</v>
      </c>
    </row>
    <row r="15" customFormat="false" ht="15" hidden="false" customHeight="false" outlineLevel="0" collapsed="false">
      <c r="A15" s="22" t="n">
        <v>5000</v>
      </c>
      <c r="B15" s="23" t="n">
        <f aca="false">$A15*B$8-Hypotheses!$C$25</f>
        <v>3273</v>
      </c>
      <c r="C15" s="23" t="n">
        <f aca="false">$A15*C$8-Hypotheses!$C$25</f>
        <v>7113</v>
      </c>
      <c r="D15" s="23" t="n">
        <f aca="false">$A15*D$8-Hypotheses!$C$25</f>
        <v>13257</v>
      </c>
    </row>
    <row r="16" customFormat="false" ht="15" hidden="false" customHeight="false" outlineLevel="0" collapsed="false">
      <c r="A16" s="22" t="n">
        <v>10000</v>
      </c>
      <c r="B16" s="23" t="n">
        <f aca="false">$A16*B$8-Hypotheses!$C$25</f>
        <v>6913</v>
      </c>
      <c r="C16" s="23" t="n">
        <f aca="false">$A16*C$8-Hypotheses!$C$25</f>
        <v>14593</v>
      </c>
      <c r="D16" s="23" t="n">
        <f aca="false">$A16*D$8-Hypotheses!$C$25</f>
        <v>26881</v>
      </c>
    </row>
    <row r="17" customFormat="false" ht="15" hidden="false" customHeight="false" outlineLevel="0" collapsed="false">
      <c r="A17" s="22" t="n">
        <v>50000</v>
      </c>
      <c r="B17" s="23" t="n">
        <f aca="false">$A17*B$8-Hypotheses!$C$25</f>
        <v>36033</v>
      </c>
      <c r="C17" s="23" t="n">
        <f aca="false">$A17*C$8-Hypotheses!$C$25</f>
        <v>74433</v>
      </c>
      <c r="D17" s="23" t="n">
        <f aca="false">$A17*D$8-Hypotheses!$C$25</f>
        <v>135873</v>
      </c>
    </row>
    <row r="18" customFormat="false" ht="15" hidden="false" customHeight="false" outlineLevel="0" collapsed="false">
      <c r="A18" s="22" t="n">
        <v>100000</v>
      </c>
      <c r="B18" s="23" t="n">
        <f aca="false">$A18*B$8-Hypotheses!$C$25</f>
        <v>72433</v>
      </c>
      <c r="C18" s="23" t="n">
        <f aca="false">$A18*C$8-Hypotheses!$C$25</f>
        <v>149233</v>
      </c>
      <c r="D18" s="23" t="n">
        <f aca="false">$A18*D$8-Hypotheses!$C$25</f>
        <v>272113</v>
      </c>
    </row>
    <row r="21" customFormat="false" ht="15" hidden="false" customHeight="false" outlineLevel="0" collapsed="false">
      <c r="A21" s="11" t="s">
        <v>126</v>
      </c>
      <c r="B21" s="11"/>
      <c r="C21" s="11"/>
      <c r="D21" s="11"/>
    </row>
    <row r="22" customFormat="false" ht="15" hidden="false" customHeight="false" outlineLevel="0" collapsed="false">
      <c r="A22" s="3"/>
      <c r="B22" s="3" t="s">
        <v>117</v>
      </c>
      <c r="C22" s="3" t="s">
        <v>118</v>
      </c>
      <c r="D22" s="3" t="s">
        <v>119</v>
      </c>
    </row>
    <row r="23" customFormat="false" ht="15" hidden="false" customHeight="false" outlineLevel="0" collapsed="false">
      <c r="A23" s="6" t="s">
        <v>127</v>
      </c>
      <c r="B23" s="24" t="n">
        <f aca="false">Hypotheses!$C$25/B$8</f>
        <v>504.120879120879</v>
      </c>
      <c r="C23" s="24" t="n">
        <f aca="false">Hypotheses!$C$25/C$8</f>
        <v>245.320855614973</v>
      </c>
      <c r="D23" s="24" t="n">
        <f aca="false">Hypotheses!$C$25/D$8</f>
        <v>134.688784497945</v>
      </c>
    </row>
    <row r="24" customFormat="false" ht="15" hidden="false" customHeight="false" outlineLevel="0" collapsed="false">
      <c r="A24" s="6" t="s">
        <v>128</v>
      </c>
      <c r="B24" s="24" t="n">
        <f aca="false">(Hypotheses!$C$25+Hypotheses!$C$26)/B$8</f>
        <v>796.703296703297</v>
      </c>
      <c r="C24" s="24" t="n">
        <f aca="false">(Hypotheses!$C$25+Hypotheses!$C$26)/C$8</f>
        <v>387.700534759358</v>
      </c>
      <c r="D24" s="24" t="n">
        <f aca="false">(Hypotheses!$C$25+Hypotheses!$C$26)/D$8</f>
        <v>212.859659424545</v>
      </c>
    </row>
    <row r="26" customFormat="false" ht="39.75" hidden="false" customHeight="true" outlineLevel="0" collapsed="false">
      <c r="A26" s="25" t="s">
        <v>129</v>
      </c>
      <c r="B26" s="25"/>
      <c r="C26" s="25"/>
      <c r="D26" s="25"/>
      <c r="E26" s="25"/>
      <c r="F26" s="25"/>
    </row>
  </sheetData>
  <mergeCells count="5">
    <mergeCell ref="A1:D1"/>
    <mergeCell ref="A2:D2"/>
    <mergeCell ref="A11:D11"/>
    <mergeCell ref="A21:D21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130</v>
      </c>
      <c r="B1" s="1"/>
      <c r="C1" s="1"/>
    </row>
    <row r="2" customFormat="false" ht="15" hidden="false" customHeight="false" outlineLevel="0" collapsed="false">
      <c r="A2" s="2" t="s">
        <v>131</v>
      </c>
      <c r="B2" s="2"/>
      <c r="C2" s="2"/>
    </row>
    <row r="4" customFormat="false" ht="15" hidden="false" customHeight="false" outlineLevel="0" collapsed="false">
      <c r="A4" s="6" t="s">
        <v>132</v>
      </c>
      <c r="B4" s="22" t="n">
        <v>10000</v>
      </c>
    </row>
    <row r="6" customFormat="false" ht="15" hidden="false" customHeight="false" outlineLevel="0" collapsed="false">
      <c r="A6" s="11" t="s">
        <v>133</v>
      </c>
      <c r="B6" s="11"/>
      <c r="C6" s="11"/>
    </row>
    <row r="7" customFormat="false" ht="27.75" hidden="false" customHeight="true" outlineLevel="0" collapsed="false">
      <c r="A7" s="26" t="s">
        <v>134</v>
      </c>
      <c r="B7" s="26"/>
      <c r="C7" s="26"/>
    </row>
    <row r="8" customFormat="false" ht="15" hidden="false" customHeight="false" outlineLevel="0" collapsed="false">
      <c r="A8" s="3" t="s">
        <v>135</v>
      </c>
      <c r="B8" s="3" t="s">
        <v>136</v>
      </c>
      <c r="C8" s="3"/>
    </row>
    <row r="9" customFormat="false" ht="15" hidden="false" customHeight="false" outlineLevel="0" collapsed="false">
      <c r="A9" s="9" t="n">
        <v>0.01</v>
      </c>
      <c r="B9" s="23" t="n">
        <f aca="false">$B$4*(Hypotheses!$B$5*A9*Hypotheses!$B$6*Hypotheses!$B$11-Hypotheses!$C$29)-Hypotheses!$C$25</f>
        <v>769</v>
      </c>
      <c r="C9" s="6"/>
    </row>
    <row r="10" customFormat="false" ht="15" hidden="false" customHeight="false" outlineLevel="0" collapsed="false">
      <c r="A10" s="9" t="n">
        <v>0.02</v>
      </c>
      <c r="B10" s="23" t="n">
        <f aca="false">$B$4*(Hypotheses!$B$5*A10*Hypotheses!$B$6*Hypotheses!$B$11-Hypotheses!$C$29)-Hypotheses!$C$25</f>
        <v>2305</v>
      </c>
      <c r="C10" s="6"/>
    </row>
    <row r="11" customFormat="false" ht="15" hidden="false" customHeight="false" outlineLevel="0" collapsed="false">
      <c r="A11" s="9" t="n">
        <v>0.05</v>
      </c>
      <c r="B11" s="23" t="n">
        <f aca="false">$B$4*(Hypotheses!$B$5*A11*Hypotheses!$B$6*Hypotheses!$B$11-Hypotheses!$C$29)-Hypotheses!$C$25</f>
        <v>6913</v>
      </c>
      <c r="C11" s="6"/>
    </row>
    <row r="12" customFormat="false" ht="15" hidden="false" customHeight="false" outlineLevel="0" collapsed="false">
      <c r="A12" s="9" t="n">
        <v>0.08</v>
      </c>
      <c r="B12" s="23" t="n">
        <f aca="false">$B$4*(Hypotheses!$B$5*A12*Hypotheses!$B$6*Hypotheses!$B$11-Hypotheses!$C$29)-Hypotheses!$C$25</f>
        <v>11521</v>
      </c>
      <c r="C12" s="6"/>
    </row>
    <row r="13" customFormat="false" ht="15" hidden="false" customHeight="false" outlineLevel="0" collapsed="false">
      <c r="A13" s="9" t="n">
        <v>0.1</v>
      </c>
      <c r="B13" s="23" t="n">
        <f aca="false">$B$4*(Hypotheses!$B$5*A13*Hypotheses!$B$6*Hypotheses!$B$11-Hypotheses!$C$29)-Hypotheses!$C$25</f>
        <v>14593</v>
      </c>
      <c r="C13" s="6"/>
    </row>
    <row r="14" customFormat="false" ht="15" hidden="false" customHeight="false" outlineLevel="0" collapsed="false">
      <c r="A14" s="9" t="n">
        <v>0.15</v>
      </c>
      <c r="B14" s="23" t="n">
        <f aca="false">$B$4*(Hypotheses!$B$5*A14*Hypotheses!$B$6*Hypotheses!$B$11-Hypotheses!$C$29)-Hypotheses!$C$25</f>
        <v>22273</v>
      </c>
      <c r="C14" s="6"/>
    </row>
    <row r="15" customFormat="false" ht="15" hidden="false" customHeight="false" outlineLevel="0" collapsed="false">
      <c r="A15" s="9" t="n">
        <v>0.18</v>
      </c>
      <c r="B15" s="23" t="n">
        <f aca="false">$B$4*(Hypotheses!$B$5*A15*Hypotheses!$B$6*Hypotheses!$B$11-Hypotheses!$C$29)-Hypotheses!$C$25</f>
        <v>26881</v>
      </c>
      <c r="C15" s="6"/>
    </row>
    <row r="16" customFormat="false" ht="15" hidden="false" customHeight="false" outlineLevel="0" collapsed="false">
      <c r="A16" s="9" t="n">
        <v>0.25</v>
      </c>
      <c r="B16" s="23" t="n">
        <f aca="false">$B$4*(Hypotheses!$B$5*A16*Hypotheses!$B$6*Hypotheses!$B$11-Hypotheses!$C$29)-Hypotheses!$C$25</f>
        <v>37633</v>
      </c>
      <c r="C16" s="6"/>
    </row>
    <row r="17" customFormat="false" ht="15" hidden="false" customHeight="false" outlineLevel="0" collapsed="false">
      <c r="A17" s="12" t="s">
        <v>137</v>
      </c>
      <c r="B17" s="27" t="n">
        <f aca="false">MAX(B9:B16)-MIN(B9:B16)</f>
        <v>36864</v>
      </c>
      <c r="C17" s="6"/>
    </row>
    <row r="19" customFormat="false" ht="15" hidden="false" customHeight="false" outlineLevel="0" collapsed="false">
      <c r="A19" s="11" t="s">
        <v>138</v>
      </c>
      <c r="B19" s="11"/>
      <c r="C19" s="11"/>
    </row>
    <row r="20" customFormat="false" ht="27.75" hidden="false" customHeight="true" outlineLevel="0" collapsed="false">
      <c r="A20" s="26" t="s">
        <v>139</v>
      </c>
      <c r="B20" s="26"/>
      <c r="C20" s="26"/>
    </row>
    <row r="21" customFormat="false" ht="15" hidden="false" customHeight="false" outlineLevel="0" collapsed="false">
      <c r="A21" s="3" t="s">
        <v>135</v>
      </c>
      <c r="B21" s="3" t="s">
        <v>136</v>
      </c>
      <c r="C21" s="3"/>
    </row>
    <row r="22" customFormat="false" ht="15" hidden="false" customHeight="false" outlineLevel="0" collapsed="false">
      <c r="A22" s="9" t="n">
        <v>0.02</v>
      </c>
      <c r="B22" s="23" t="n">
        <f aca="false">$B$4*(Hypotheses!$B$5*Hypotheses!$B$13*Hypotheses!$B$6*A22-Hypotheses!$C$29)-Hypotheses!$C$25</f>
        <v>5633</v>
      </c>
      <c r="C22" s="6"/>
    </row>
    <row r="23" customFormat="false" ht="15" hidden="false" customHeight="false" outlineLevel="0" collapsed="false">
      <c r="A23" s="9" t="n">
        <v>0.04</v>
      </c>
      <c r="B23" s="23" t="n">
        <f aca="false">$B$4*(Hypotheses!$B$5*Hypotheses!$B$13*Hypotheses!$B$6*A23-Hypotheses!$C$29)-Hypotheses!$C$25</f>
        <v>12033</v>
      </c>
      <c r="C23" s="6"/>
    </row>
    <row r="24" customFormat="false" ht="15" hidden="false" customHeight="false" outlineLevel="0" collapsed="false">
      <c r="A24" s="9" t="n">
        <v>0.048</v>
      </c>
      <c r="B24" s="23" t="n">
        <f aca="false">$B$4*(Hypotheses!$B$5*Hypotheses!$B$13*Hypotheses!$B$6*A24-Hypotheses!$C$29)-Hypotheses!$C$25</f>
        <v>14593</v>
      </c>
      <c r="C24" s="6"/>
    </row>
    <row r="25" customFormat="false" ht="15" hidden="false" customHeight="false" outlineLevel="0" collapsed="false">
      <c r="A25" s="9" t="n">
        <v>0.06</v>
      </c>
      <c r="B25" s="23" t="n">
        <f aca="false">$B$4*(Hypotheses!$B$5*Hypotheses!$B$13*Hypotheses!$B$6*A25-Hypotheses!$C$29)-Hypotheses!$C$25</f>
        <v>18433</v>
      </c>
      <c r="C25" s="6"/>
    </row>
    <row r="26" customFormat="false" ht="15" hidden="false" customHeight="false" outlineLevel="0" collapsed="false">
      <c r="A26" s="9" t="n">
        <v>0.08</v>
      </c>
      <c r="B26" s="23" t="n">
        <f aca="false">$B$4*(Hypotheses!$B$5*Hypotheses!$B$13*Hypotheses!$B$6*A26-Hypotheses!$C$29)-Hypotheses!$C$25</f>
        <v>24833</v>
      </c>
      <c r="C26" s="6"/>
    </row>
    <row r="27" customFormat="false" ht="15" hidden="false" customHeight="false" outlineLevel="0" collapsed="false">
      <c r="A27" s="9" t="n">
        <v>0.09</v>
      </c>
      <c r="B27" s="23" t="n">
        <f aca="false">$B$4*(Hypotheses!$B$5*Hypotheses!$B$13*Hypotheses!$B$6*A27-Hypotheses!$C$29)-Hypotheses!$C$25</f>
        <v>28033</v>
      </c>
      <c r="C27" s="6"/>
    </row>
    <row r="28" customFormat="false" ht="15" hidden="false" customHeight="false" outlineLevel="0" collapsed="false">
      <c r="A28" s="12" t="s">
        <v>137</v>
      </c>
      <c r="B28" s="27" t="n">
        <f aca="false">MAX(B22:B27)-MIN(B22:B27)</f>
        <v>22400</v>
      </c>
      <c r="C28" s="6"/>
    </row>
    <row r="30" customFormat="false" ht="15" hidden="false" customHeight="false" outlineLevel="0" collapsed="false">
      <c r="A30" s="11" t="s">
        <v>140</v>
      </c>
      <c r="B30" s="11"/>
      <c r="C30" s="11"/>
    </row>
    <row r="31" customFormat="false" ht="27.75" hidden="false" customHeight="true" outlineLevel="0" collapsed="false">
      <c r="A31" s="26" t="s">
        <v>141</v>
      </c>
      <c r="B31" s="26"/>
      <c r="C31" s="26"/>
    </row>
    <row r="32" customFormat="false" ht="15" hidden="false" customHeight="false" outlineLevel="0" collapsed="false">
      <c r="A32" s="3" t="s">
        <v>135</v>
      </c>
      <c r="B32" s="3" t="s">
        <v>136</v>
      </c>
      <c r="C32" s="3"/>
    </row>
    <row r="33" customFormat="false" ht="15" hidden="false" customHeight="false" outlineLevel="0" collapsed="false">
      <c r="A33" s="8" t="n">
        <v>20</v>
      </c>
      <c r="B33" s="23" t="n">
        <f aca="false">$B$4*(Hypotheses!$B$5*Hypotheses!$B$13*A33*Hypotheses!$B$11-Hypotheses!$C$29)-Hypotheses!$C$25</f>
        <v>6913</v>
      </c>
      <c r="C33" s="6"/>
    </row>
    <row r="34" customFormat="false" ht="15" hidden="false" customHeight="false" outlineLevel="0" collapsed="false">
      <c r="A34" s="8" t="n">
        <v>30</v>
      </c>
      <c r="B34" s="23" t="n">
        <f aca="false">$B$4*(Hypotheses!$B$5*Hypotheses!$B$13*A34*Hypotheses!$B$11-Hypotheses!$C$29)-Hypotheses!$C$25</f>
        <v>10753</v>
      </c>
      <c r="C34" s="6"/>
    </row>
    <row r="35" customFormat="false" ht="15" hidden="false" customHeight="false" outlineLevel="0" collapsed="false">
      <c r="A35" s="8" t="n">
        <v>40</v>
      </c>
      <c r="B35" s="23" t="n">
        <f aca="false">$B$4*(Hypotheses!$B$5*Hypotheses!$B$13*A35*Hypotheses!$B$11-Hypotheses!$C$29)-Hypotheses!$C$25</f>
        <v>14593</v>
      </c>
      <c r="C35" s="6"/>
    </row>
    <row r="36" customFormat="false" ht="15" hidden="false" customHeight="false" outlineLevel="0" collapsed="false">
      <c r="A36" s="8" t="n">
        <v>50</v>
      </c>
      <c r="B36" s="23" t="n">
        <f aca="false">$B$4*(Hypotheses!$B$5*Hypotheses!$B$13*A36*Hypotheses!$B$11-Hypotheses!$C$29)-Hypotheses!$C$25</f>
        <v>18433</v>
      </c>
      <c r="C36" s="6"/>
    </row>
    <row r="37" customFormat="false" ht="15" hidden="false" customHeight="false" outlineLevel="0" collapsed="false">
      <c r="A37" s="8" t="n">
        <v>60</v>
      </c>
      <c r="B37" s="23" t="n">
        <f aca="false">$B$4*(Hypotheses!$B$5*Hypotheses!$B$13*A37*Hypotheses!$B$11-Hypotheses!$C$29)-Hypotheses!$C$25</f>
        <v>22273</v>
      </c>
      <c r="C37" s="6"/>
    </row>
    <row r="38" customFormat="false" ht="15" hidden="false" customHeight="false" outlineLevel="0" collapsed="false">
      <c r="A38" s="8" t="n">
        <v>80</v>
      </c>
      <c r="B38" s="23" t="n">
        <f aca="false">$B$4*(Hypotheses!$B$5*Hypotheses!$B$13*A38*Hypotheses!$B$11-Hypotheses!$C$29)-Hypotheses!$C$25</f>
        <v>29953</v>
      </c>
      <c r="C38" s="6"/>
    </row>
    <row r="39" customFormat="false" ht="15" hidden="false" customHeight="false" outlineLevel="0" collapsed="false">
      <c r="A39" s="8" t="n">
        <v>100</v>
      </c>
      <c r="B39" s="23" t="n">
        <f aca="false">$B$4*(Hypotheses!$B$5*Hypotheses!$B$13*A39*Hypotheses!$B$11-Hypotheses!$C$29)-Hypotheses!$C$25</f>
        <v>37633</v>
      </c>
      <c r="C39" s="6"/>
    </row>
    <row r="40" customFormat="false" ht="15" hidden="false" customHeight="false" outlineLevel="0" collapsed="false">
      <c r="A40" s="12" t="s">
        <v>137</v>
      </c>
      <c r="B40" s="27" t="n">
        <f aca="false">MAX(B33:B39)-MIN(B33:B39)</f>
        <v>30720</v>
      </c>
      <c r="C40" s="6"/>
    </row>
    <row r="42" customFormat="false" ht="15" hidden="false" customHeight="false" outlineLevel="0" collapsed="false">
      <c r="A42" s="11" t="s">
        <v>142</v>
      </c>
      <c r="B42" s="11"/>
      <c r="C42" s="11"/>
    </row>
    <row r="43" customFormat="false" ht="27.75" hidden="false" customHeight="true" outlineLevel="0" collapsed="false">
      <c r="A43" s="26" t="s">
        <v>143</v>
      </c>
      <c r="B43" s="26"/>
      <c r="C43" s="26"/>
    </row>
    <row r="44" customFormat="false" ht="15" hidden="false" customHeight="false" outlineLevel="0" collapsed="false">
      <c r="A44" s="3" t="s">
        <v>135</v>
      </c>
      <c r="B44" s="3" t="s">
        <v>136</v>
      </c>
      <c r="C44" s="3"/>
    </row>
    <row r="45" customFormat="false" ht="15" hidden="false" customHeight="false" outlineLevel="0" collapsed="false">
      <c r="A45" s="22" t="n">
        <v>4</v>
      </c>
      <c r="B45" s="23" t="n">
        <f aca="false">$B$4*(A45*Hypotheses!$B$13*Hypotheses!$B$6*Hypotheses!$B$11-Hypotheses!$C$29)-Hypotheses!$C$25</f>
        <v>6913</v>
      </c>
      <c r="C45" s="6"/>
    </row>
    <row r="46" customFormat="false" ht="15" hidden="false" customHeight="false" outlineLevel="0" collapsed="false">
      <c r="A46" s="22" t="n">
        <v>6</v>
      </c>
      <c r="B46" s="23" t="n">
        <f aca="false">$B$4*(A46*Hypotheses!$B$13*Hypotheses!$B$6*Hypotheses!$B$11-Hypotheses!$C$29)-Hypotheses!$C$25</f>
        <v>10753</v>
      </c>
      <c r="C46" s="6"/>
    </row>
    <row r="47" customFormat="false" ht="15" hidden="false" customHeight="false" outlineLevel="0" collapsed="false">
      <c r="A47" s="22" t="n">
        <v>8</v>
      </c>
      <c r="B47" s="23" t="n">
        <f aca="false">$B$4*(A47*Hypotheses!$B$13*Hypotheses!$B$6*Hypotheses!$B$11-Hypotheses!$C$29)-Hypotheses!$C$25</f>
        <v>14593</v>
      </c>
      <c r="C47" s="6"/>
    </row>
    <row r="48" customFormat="false" ht="15" hidden="false" customHeight="false" outlineLevel="0" collapsed="false">
      <c r="A48" s="22" t="n">
        <v>10</v>
      </c>
      <c r="B48" s="23" t="n">
        <f aca="false">$B$4*(A48*Hypotheses!$B$13*Hypotheses!$B$6*Hypotheses!$B$11-Hypotheses!$C$29)-Hypotheses!$C$25</f>
        <v>18433</v>
      </c>
      <c r="C48" s="6"/>
    </row>
    <row r="49" customFormat="false" ht="15" hidden="false" customHeight="false" outlineLevel="0" collapsed="false">
      <c r="A49" s="22" t="n">
        <v>12</v>
      </c>
      <c r="B49" s="23" t="n">
        <f aca="false">$B$4*(A49*Hypotheses!$B$13*Hypotheses!$B$6*Hypotheses!$B$11-Hypotheses!$C$29)-Hypotheses!$C$25</f>
        <v>22273</v>
      </c>
      <c r="C49" s="6"/>
    </row>
    <row r="50" customFormat="false" ht="15" hidden="false" customHeight="false" outlineLevel="0" collapsed="false">
      <c r="A50" s="22" t="n">
        <v>15</v>
      </c>
      <c r="B50" s="23" t="n">
        <f aca="false">$B$4*(A50*Hypotheses!$B$13*Hypotheses!$B$6*Hypotheses!$B$11-Hypotheses!$C$29)-Hypotheses!$C$25</f>
        <v>28033</v>
      </c>
      <c r="C50" s="6"/>
    </row>
    <row r="51" customFormat="false" ht="15" hidden="false" customHeight="false" outlineLevel="0" collapsed="false">
      <c r="A51" s="12" t="s">
        <v>137</v>
      </c>
      <c r="B51" s="27" t="n">
        <f aca="false">MAX(B45:B50)-MIN(B45:B50)</f>
        <v>21120</v>
      </c>
      <c r="C51" s="6"/>
    </row>
    <row r="53" customFormat="false" ht="69.75" hidden="false" customHeight="true" outlineLevel="0" collapsed="false">
      <c r="A53" s="25" t="s">
        <v>144</v>
      </c>
      <c r="B53" s="25"/>
      <c r="C53" s="25"/>
    </row>
  </sheetData>
  <mergeCells count="11">
    <mergeCell ref="A1:C1"/>
    <mergeCell ref="A2:C2"/>
    <mergeCell ref="A6:C6"/>
    <mergeCell ref="A7:C7"/>
    <mergeCell ref="A19:C19"/>
    <mergeCell ref="A20:C20"/>
    <mergeCell ref="A30:C30"/>
    <mergeCell ref="A31:C31"/>
    <mergeCell ref="A42:C42"/>
    <mergeCell ref="A43:C43"/>
    <mergeCell ref="A53:C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2026-08-16T15:00:16Z</dcterms:created>
  <dc:creator>openpyxl</dc:creator>
  <dc:description/>
  <dc:language>en-US</dc:language>
  <cp:lastModifiedBy/>
  <dcterms:modified xsi:type="dcterms:W3CDTF">2026-08-16T15:00:16Z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